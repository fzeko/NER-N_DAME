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peron/Documents/CNRS/"/>
    </mc:Choice>
  </mc:AlternateContent>
  <xr:revisionPtr revIDLastSave="0" documentId="13_ncr:1_{78F3B494-E579-EA45-A5DE-D18289EF3231}" xr6:coauthVersionLast="47" xr6:coauthVersionMax="47" xr10:uidLastSave="{00000000-0000-0000-0000-000000000000}"/>
  <bookViews>
    <workbookView xWindow="0" yWindow="500" windowWidth="15420" windowHeight="15820" xr2:uid="{825825DC-2919-8348-AF90-B5991D596F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1" i="1"/>
  <c r="F50" i="1"/>
  <c r="F49" i="1"/>
  <c r="F48" i="1"/>
  <c r="F46" i="1"/>
  <c r="F41" i="1"/>
  <c r="F42" i="1"/>
  <c r="F43" i="1"/>
  <c r="F44" i="1"/>
  <c r="F40" i="1"/>
  <c r="D46" i="1"/>
  <c r="D44" i="1"/>
  <c r="D43" i="1"/>
  <c r="D42" i="1"/>
  <c r="D41" i="1"/>
  <c r="D40" i="1"/>
  <c r="B40" i="1"/>
  <c r="B41" i="1"/>
  <c r="B46" i="1" s="1"/>
  <c r="B42" i="1"/>
  <c r="B43" i="1"/>
  <c r="B44" i="1"/>
  <c r="J29" i="1"/>
  <c r="I29" i="1"/>
  <c r="B29" i="1"/>
  <c r="C29" i="1"/>
  <c r="F29" i="1"/>
  <c r="G29" i="1"/>
</calcChain>
</file>

<file path=xl/sharedStrings.xml><?xml version="1.0" encoding="utf-8"?>
<sst xmlns="http://schemas.openxmlformats.org/spreadsheetml/2006/main" count="42" uniqueCount="39">
  <si>
    <t>ARCH_ELEMENT</t>
  </si>
  <si>
    <t>HISTORICAL_PERIOD</t>
  </si>
  <si>
    <t>MATERIAL</t>
  </si>
  <si>
    <t>MAT_STATE</t>
  </si>
  <si>
    <t>OBJECT_TYPE</t>
  </si>
  <si>
    <t>MONUMENT</t>
  </si>
  <si>
    <t>ARCH_SPACE</t>
  </si>
  <si>
    <t>ANALYSIS_METHOD</t>
  </si>
  <si>
    <t>EXPERT</t>
  </si>
  <si>
    <t>RESTORATION_TECH</t>
  </si>
  <si>
    <t>DURATION</t>
  </si>
  <si>
    <t>HERITAGE_INST</t>
  </si>
  <si>
    <t>PROJECTS</t>
  </si>
  <si>
    <t>CONSTRUCTION_ACT</t>
  </si>
  <si>
    <t>DIGITAL_TECH</t>
  </si>
  <si>
    <t>RELATION_SPAT</t>
  </si>
  <si>
    <t>MEASURE_TYPE</t>
  </si>
  <si>
    <t>RESTORATION_EVENT</t>
  </si>
  <si>
    <t>COMPANY</t>
  </si>
  <si>
    <t>DEVICE</t>
  </si>
  <si>
    <t>FIRE_EVENT</t>
  </si>
  <si>
    <t>COLOR</t>
  </si>
  <si>
    <t>CHEM_COMPOUND</t>
  </si>
  <si>
    <t>GROUPE_TRAVAIL</t>
  </si>
  <si>
    <t>MEASURE_VALUE</t>
  </si>
  <si>
    <t>Baseline</t>
  </si>
  <si>
    <t>Manual Annotation</t>
  </si>
  <si>
    <t>FR</t>
  </si>
  <si>
    <t>EN</t>
  </si>
  <si>
    <t>TOTAL</t>
  </si>
  <si>
    <t>Total Baseline</t>
  </si>
  <si>
    <t>Total Manual</t>
  </si>
  <si>
    <t>Spatial Location</t>
  </si>
  <si>
    <t>Temporal Location</t>
  </si>
  <si>
    <t>Actors</t>
  </si>
  <si>
    <t>Materials</t>
  </si>
  <si>
    <t>Techniques</t>
  </si>
  <si>
    <t>Entities FR</t>
  </si>
  <si>
    <t>Entities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</si>
</sst>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Feuil1!$B$1:$B$2</c:f>
              <c:strCache>
                <c:ptCount val="2"/>
                <c:pt idx="0">
                  <c:v>FR</c:v>
                </c:pt>
                <c:pt idx="1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Feuil1!$A$3:$A$27</c:f>
              <c:strCache>
                <c:ptCount val="25"/>
                <c:pt idx="0">
                  <c:v>ARCH_ELEMENT</c:v>
                </c:pt>
                <c:pt idx="1">
                  <c:v>HISTORICAL_PERIOD</c:v>
                </c:pt>
                <c:pt idx="2">
                  <c:v>MATERIAL</c:v>
                </c:pt>
                <c:pt idx="3">
                  <c:v>MAT_STATE</c:v>
                </c:pt>
                <c:pt idx="4">
                  <c:v>OBJECT_TYPE</c:v>
                </c:pt>
                <c:pt idx="5">
                  <c:v>MONUMENT</c:v>
                </c:pt>
                <c:pt idx="6">
                  <c:v>ARCH_SPACE</c:v>
                </c:pt>
                <c:pt idx="7">
                  <c:v>ANALYSIS_METHOD</c:v>
                </c:pt>
                <c:pt idx="8">
                  <c:v>EXPERT</c:v>
                </c:pt>
                <c:pt idx="9">
                  <c:v>RESTORATION_TECH</c:v>
                </c:pt>
                <c:pt idx="10">
                  <c:v>DURATION</c:v>
                </c:pt>
                <c:pt idx="11">
                  <c:v>HERITAGE_INST</c:v>
                </c:pt>
                <c:pt idx="12">
                  <c:v>PROJECTS</c:v>
                </c:pt>
                <c:pt idx="13">
                  <c:v>CONSTRUCTION_ACT</c:v>
                </c:pt>
                <c:pt idx="14">
                  <c:v>DIGITAL_TECH</c:v>
                </c:pt>
                <c:pt idx="15">
                  <c:v>RELATION_SPAT</c:v>
                </c:pt>
                <c:pt idx="16">
                  <c:v>MEASURE_TYPE</c:v>
                </c:pt>
                <c:pt idx="17">
                  <c:v>RESTORATION_EVENT</c:v>
                </c:pt>
                <c:pt idx="18">
                  <c:v>COMPANY</c:v>
                </c:pt>
                <c:pt idx="19">
                  <c:v>FIRE_EVENT</c:v>
                </c:pt>
                <c:pt idx="20">
                  <c:v>COLOR</c:v>
                </c:pt>
                <c:pt idx="21">
                  <c:v>DEVICE</c:v>
                </c:pt>
                <c:pt idx="22">
                  <c:v>CHEM_COMPOUND</c:v>
                </c:pt>
                <c:pt idx="23">
                  <c:v>GROUPE_TRAVAIL</c:v>
                </c:pt>
                <c:pt idx="24">
                  <c:v>MEASURE_VALUE</c:v>
                </c:pt>
              </c:strCache>
            </c:strRef>
          </c:cat>
          <c:val>
            <c:numRef>
              <c:f>Feuil1!$B$3:$B$27</c:f>
              <c:numCache>
                <c:formatCode>General</c:formatCode>
                <c:ptCount val="25"/>
                <c:pt idx="0">
                  <c:v>440</c:v>
                </c:pt>
                <c:pt idx="1">
                  <c:v>293</c:v>
                </c:pt>
                <c:pt idx="2">
                  <c:v>359</c:v>
                </c:pt>
                <c:pt idx="3">
                  <c:v>214</c:v>
                </c:pt>
                <c:pt idx="4">
                  <c:v>281</c:v>
                </c:pt>
                <c:pt idx="5">
                  <c:v>227</c:v>
                </c:pt>
                <c:pt idx="6">
                  <c:v>238</c:v>
                </c:pt>
                <c:pt idx="7">
                  <c:v>180</c:v>
                </c:pt>
                <c:pt idx="8">
                  <c:v>175</c:v>
                </c:pt>
                <c:pt idx="9">
                  <c:v>191</c:v>
                </c:pt>
                <c:pt idx="10">
                  <c:v>70</c:v>
                </c:pt>
                <c:pt idx="11">
                  <c:v>81</c:v>
                </c:pt>
                <c:pt idx="12">
                  <c:v>79</c:v>
                </c:pt>
                <c:pt idx="13">
                  <c:v>61</c:v>
                </c:pt>
                <c:pt idx="14">
                  <c:v>56</c:v>
                </c:pt>
                <c:pt idx="15">
                  <c:v>18</c:v>
                </c:pt>
                <c:pt idx="16">
                  <c:v>36</c:v>
                </c:pt>
                <c:pt idx="17">
                  <c:v>23</c:v>
                </c:pt>
                <c:pt idx="18">
                  <c:v>16</c:v>
                </c:pt>
                <c:pt idx="19">
                  <c:v>28</c:v>
                </c:pt>
                <c:pt idx="20">
                  <c:v>16</c:v>
                </c:pt>
                <c:pt idx="21">
                  <c:v>18</c:v>
                </c:pt>
                <c:pt idx="22">
                  <c:v>14</c:v>
                </c:pt>
                <c:pt idx="23">
                  <c:v>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5-D940-A9F1-EE2EDC8CAF95}"/>
            </c:ext>
          </c:extLst>
        </c:ser>
        <c:ser>
          <c:idx val="1"/>
          <c:order val="1"/>
          <c:tx>
            <c:strRef>
              <c:f>Feuil1!$C$1:$C$2</c:f>
              <c:strCache>
                <c:ptCount val="2"/>
                <c:pt idx="0">
                  <c:v>FR</c:v>
                </c:pt>
                <c:pt idx="1">
                  <c:v>Manual Annotation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Feuil1!$A$3:$A$27</c:f>
              <c:strCache>
                <c:ptCount val="25"/>
                <c:pt idx="0">
                  <c:v>ARCH_ELEMENT</c:v>
                </c:pt>
                <c:pt idx="1">
                  <c:v>HISTORICAL_PERIOD</c:v>
                </c:pt>
                <c:pt idx="2">
                  <c:v>MATERIAL</c:v>
                </c:pt>
                <c:pt idx="3">
                  <c:v>MAT_STATE</c:v>
                </c:pt>
                <c:pt idx="4">
                  <c:v>OBJECT_TYPE</c:v>
                </c:pt>
                <c:pt idx="5">
                  <c:v>MONUMENT</c:v>
                </c:pt>
                <c:pt idx="6">
                  <c:v>ARCH_SPACE</c:v>
                </c:pt>
                <c:pt idx="7">
                  <c:v>ANALYSIS_METHOD</c:v>
                </c:pt>
                <c:pt idx="8">
                  <c:v>EXPERT</c:v>
                </c:pt>
                <c:pt idx="9">
                  <c:v>RESTORATION_TECH</c:v>
                </c:pt>
                <c:pt idx="10">
                  <c:v>DURATION</c:v>
                </c:pt>
                <c:pt idx="11">
                  <c:v>HERITAGE_INST</c:v>
                </c:pt>
                <c:pt idx="12">
                  <c:v>PROJECTS</c:v>
                </c:pt>
                <c:pt idx="13">
                  <c:v>CONSTRUCTION_ACT</c:v>
                </c:pt>
                <c:pt idx="14">
                  <c:v>DIGITAL_TECH</c:v>
                </c:pt>
                <c:pt idx="15">
                  <c:v>RELATION_SPAT</c:v>
                </c:pt>
                <c:pt idx="16">
                  <c:v>MEASURE_TYPE</c:v>
                </c:pt>
                <c:pt idx="17">
                  <c:v>RESTORATION_EVENT</c:v>
                </c:pt>
                <c:pt idx="18">
                  <c:v>COMPANY</c:v>
                </c:pt>
                <c:pt idx="19">
                  <c:v>FIRE_EVENT</c:v>
                </c:pt>
                <c:pt idx="20">
                  <c:v>COLOR</c:v>
                </c:pt>
                <c:pt idx="21">
                  <c:v>DEVICE</c:v>
                </c:pt>
                <c:pt idx="22">
                  <c:v>CHEM_COMPOUND</c:v>
                </c:pt>
                <c:pt idx="23">
                  <c:v>GROUPE_TRAVAIL</c:v>
                </c:pt>
                <c:pt idx="24">
                  <c:v>MEASURE_VALUE</c:v>
                </c:pt>
              </c:strCache>
            </c:strRef>
          </c:cat>
          <c:val>
            <c:numRef>
              <c:f>Feuil1!$C$3:$C$27</c:f>
              <c:numCache>
                <c:formatCode>General</c:formatCode>
                <c:ptCount val="25"/>
                <c:pt idx="0">
                  <c:v>662</c:v>
                </c:pt>
                <c:pt idx="1">
                  <c:v>399</c:v>
                </c:pt>
                <c:pt idx="2">
                  <c:v>355</c:v>
                </c:pt>
                <c:pt idx="3">
                  <c:v>183</c:v>
                </c:pt>
                <c:pt idx="4">
                  <c:v>441</c:v>
                </c:pt>
                <c:pt idx="5">
                  <c:v>250</c:v>
                </c:pt>
                <c:pt idx="6">
                  <c:v>272</c:v>
                </c:pt>
                <c:pt idx="7">
                  <c:v>188</c:v>
                </c:pt>
                <c:pt idx="8">
                  <c:v>254</c:v>
                </c:pt>
                <c:pt idx="9">
                  <c:v>234</c:v>
                </c:pt>
                <c:pt idx="10">
                  <c:v>49</c:v>
                </c:pt>
                <c:pt idx="11">
                  <c:v>80</c:v>
                </c:pt>
                <c:pt idx="12">
                  <c:v>76</c:v>
                </c:pt>
                <c:pt idx="13">
                  <c:v>85</c:v>
                </c:pt>
                <c:pt idx="14">
                  <c:v>47</c:v>
                </c:pt>
                <c:pt idx="15">
                  <c:v>72</c:v>
                </c:pt>
                <c:pt idx="16">
                  <c:v>90</c:v>
                </c:pt>
                <c:pt idx="17">
                  <c:v>49</c:v>
                </c:pt>
                <c:pt idx="18">
                  <c:v>27</c:v>
                </c:pt>
                <c:pt idx="19">
                  <c:v>144</c:v>
                </c:pt>
                <c:pt idx="20">
                  <c:v>37</c:v>
                </c:pt>
                <c:pt idx="21">
                  <c:v>48</c:v>
                </c:pt>
                <c:pt idx="22">
                  <c:v>39</c:v>
                </c:pt>
                <c:pt idx="23">
                  <c:v>5</c:v>
                </c:pt>
                <c:pt idx="2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5-D940-A9F1-EE2EDC8CAF95}"/>
            </c:ext>
          </c:extLst>
        </c:ser>
        <c:ser>
          <c:idx val="4"/>
          <c:order val="4"/>
          <c:tx>
            <c:strRef>
              <c:f>Feuil1!$F$1:$F$2</c:f>
              <c:strCache>
                <c:ptCount val="2"/>
                <c:pt idx="0">
                  <c:v>EN</c:v>
                </c:pt>
                <c:pt idx="1">
                  <c:v>Baseline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Feuil1!$A$3:$A$27</c:f>
              <c:strCache>
                <c:ptCount val="25"/>
                <c:pt idx="0">
                  <c:v>ARCH_ELEMENT</c:v>
                </c:pt>
                <c:pt idx="1">
                  <c:v>HISTORICAL_PERIOD</c:v>
                </c:pt>
                <c:pt idx="2">
                  <c:v>MATERIAL</c:v>
                </c:pt>
                <c:pt idx="3">
                  <c:v>MAT_STATE</c:v>
                </c:pt>
                <c:pt idx="4">
                  <c:v>OBJECT_TYPE</c:v>
                </c:pt>
                <c:pt idx="5">
                  <c:v>MONUMENT</c:v>
                </c:pt>
                <c:pt idx="6">
                  <c:v>ARCH_SPACE</c:v>
                </c:pt>
                <c:pt idx="7">
                  <c:v>ANALYSIS_METHOD</c:v>
                </c:pt>
                <c:pt idx="8">
                  <c:v>EXPERT</c:v>
                </c:pt>
                <c:pt idx="9">
                  <c:v>RESTORATION_TECH</c:v>
                </c:pt>
                <c:pt idx="10">
                  <c:v>DURATION</c:v>
                </c:pt>
                <c:pt idx="11">
                  <c:v>HERITAGE_INST</c:v>
                </c:pt>
                <c:pt idx="12">
                  <c:v>PROJECTS</c:v>
                </c:pt>
                <c:pt idx="13">
                  <c:v>CONSTRUCTION_ACT</c:v>
                </c:pt>
                <c:pt idx="14">
                  <c:v>DIGITAL_TECH</c:v>
                </c:pt>
                <c:pt idx="15">
                  <c:v>RELATION_SPAT</c:v>
                </c:pt>
                <c:pt idx="16">
                  <c:v>MEASURE_TYPE</c:v>
                </c:pt>
                <c:pt idx="17">
                  <c:v>RESTORATION_EVENT</c:v>
                </c:pt>
                <c:pt idx="18">
                  <c:v>COMPANY</c:v>
                </c:pt>
                <c:pt idx="19">
                  <c:v>FIRE_EVENT</c:v>
                </c:pt>
                <c:pt idx="20">
                  <c:v>COLOR</c:v>
                </c:pt>
                <c:pt idx="21">
                  <c:v>DEVICE</c:v>
                </c:pt>
                <c:pt idx="22">
                  <c:v>CHEM_COMPOUND</c:v>
                </c:pt>
                <c:pt idx="23">
                  <c:v>GROUPE_TRAVAIL</c:v>
                </c:pt>
                <c:pt idx="24">
                  <c:v>MEASURE_VALUE</c:v>
                </c:pt>
              </c:strCache>
            </c:strRef>
          </c:cat>
          <c:val>
            <c:numRef>
              <c:f>Feuil1!$F$3:$F$27</c:f>
              <c:numCache>
                <c:formatCode>General</c:formatCode>
                <c:ptCount val="25"/>
                <c:pt idx="0">
                  <c:v>120</c:v>
                </c:pt>
                <c:pt idx="1">
                  <c:v>98</c:v>
                </c:pt>
                <c:pt idx="2">
                  <c:v>39</c:v>
                </c:pt>
                <c:pt idx="3">
                  <c:v>60</c:v>
                </c:pt>
                <c:pt idx="4">
                  <c:v>140</c:v>
                </c:pt>
                <c:pt idx="5">
                  <c:v>138</c:v>
                </c:pt>
                <c:pt idx="6">
                  <c:v>62</c:v>
                </c:pt>
                <c:pt idx="7">
                  <c:v>94</c:v>
                </c:pt>
                <c:pt idx="8">
                  <c:v>51</c:v>
                </c:pt>
                <c:pt idx="9">
                  <c:v>38</c:v>
                </c:pt>
                <c:pt idx="10">
                  <c:v>86</c:v>
                </c:pt>
                <c:pt idx="11">
                  <c:v>31</c:v>
                </c:pt>
                <c:pt idx="12">
                  <c:v>50</c:v>
                </c:pt>
                <c:pt idx="13">
                  <c:v>57</c:v>
                </c:pt>
                <c:pt idx="14">
                  <c:v>350</c:v>
                </c:pt>
                <c:pt idx="15">
                  <c:v>17</c:v>
                </c:pt>
                <c:pt idx="16">
                  <c:v>14</c:v>
                </c:pt>
                <c:pt idx="17">
                  <c:v>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5-D940-A9F1-EE2EDC8CAF95}"/>
            </c:ext>
          </c:extLst>
        </c:ser>
        <c:ser>
          <c:idx val="5"/>
          <c:order val="5"/>
          <c:tx>
            <c:strRef>
              <c:f>Feuil1!$G$1:$G$2</c:f>
              <c:strCache>
                <c:ptCount val="2"/>
                <c:pt idx="0">
                  <c:v>EN</c:v>
                </c:pt>
                <c:pt idx="1">
                  <c:v>Manual Annotation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Feuil1!$A$3:$A$27</c:f>
              <c:strCache>
                <c:ptCount val="25"/>
                <c:pt idx="0">
                  <c:v>ARCH_ELEMENT</c:v>
                </c:pt>
                <c:pt idx="1">
                  <c:v>HISTORICAL_PERIOD</c:v>
                </c:pt>
                <c:pt idx="2">
                  <c:v>MATERIAL</c:v>
                </c:pt>
                <c:pt idx="3">
                  <c:v>MAT_STATE</c:v>
                </c:pt>
                <c:pt idx="4">
                  <c:v>OBJECT_TYPE</c:v>
                </c:pt>
                <c:pt idx="5">
                  <c:v>MONUMENT</c:v>
                </c:pt>
                <c:pt idx="6">
                  <c:v>ARCH_SPACE</c:v>
                </c:pt>
                <c:pt idx="7">
                  <c:v>ANALYSIS_METHOD</c:v>
                </c:pt>
                <c:pt idx="8">
                  <c:v>EXPERT</c:v>
                </c:pt>
                <c:pt idx="9">
                  <c:v>RESTORATION_TECH</c:v>
                </c:pt>
                <c:pt idx="10">
                  <c:v>DURATION</c:v>
                </c:pt>
                <c:pt idx="11">
                  <c:v>HERITAGE_INST</c:v>
                </c:pt>
                <c:pt idx="12">
                  <c:v>PROJECTS</c:v>
                </c:pt>
                <c:pt idx="13">
                  <c:v>CONSTRUCTION_ACT</c:v>
                </c:pt>
                <c:pt idx="14">
                  <c:v>DIGITAL_TECH</c:v>
                </c:pt>
                <c:pt idx="15">
                  <c:v>RELATION_SPAT</c:v>
                </c:pt>
                <c:pt idx="16">
                  <c:v>MEASURE_TYPE</c:v>
                </c:pt>
                <c:pt idx="17">
                  <c:v>RESTORATION_EVENT</c:v>
                </c:pt>
                <c:pt idx="18">
                  <c:v>COMPANY</c:v>
                </c:pt>
                <c:pt idx="19">
                  <c:v>FIRE_EVENT</c:v>
                </c:pt>
                <c:pt idx="20">
                  <c:v>COLOR</c:v>
                </c:pt>
                <c:pt idx="21">
                  <c:v>DEVICE</c:v>
                </c:pt>
                <c:pt idx="22">
                  <c:v>CHEM_COMPOUND</c:v>
                </c:pt>
                <c:pt idx="23">
                  <c:v>GROUPE_TRAVAIL</c:v>
                </c:pt>
                <c:pt idx="24">
                  <c:v>MEASURE_VALUE</c:v>
                </c:pt>
              </c:strCache>
            </c:strRef>
          </c:cat>
          <c:val>
            <c:numRef>
              <c:f>Feuil1!$G$3:$G$27</c:f>
              <c:numCache>
                <c:formatCode>General</c:formatCode>
                <c:ptCount val="25"/>
                <c:pt idx="0">
                  <c:v>100</c:v>
                </c:pt>
                <c:pt idx="1">
                  <c:v>95</c:v>
                </c:pt>
                <c:pt idx="2">
                  <c:v>33</c:v>
                </c:pt>
                <c:pt idx="3">
                  <c:v>43</c:v>
                </c:pt>
                <c:pt idx="4">
                  <c:v>101</c:v>
                </c:pt>
                <c:pt idx="5">
                  <c:v>140</c:v>
                </c:pt>
                <c:pt idx="6">
                  <c:v>68</c:v>
                </c:pt>
                <c:pt idx="7">
                  <c:v>102</c:v>
                </c:pt>
                <c:pt idx="8">
                  <c:v>66</c:v>
                </c:pt>
                <c:pt idx="9">
                  <c:v>59</c:v>
                </c:pt>
                <c:pt idx="10">
                  <c:v>66</c:v>
                </c:pt>
                <c:pt idx="11">
                  <c:v>40</c:v>
                </c:pt>
                <c:pt idx="12">
                  <c:v>49</c:v>
                </c:pt>
                <c:pt idx="13">
                  <c:v>45</c:v>
                </c:pt>
                <c:pt idx="14">
                  <c:v>513</c:v>
                </c:pt>
                <c:pt idx="15">
                  <c:v>9</c:v>
                </c:pt>
                <c:pt idx="16">
                  <c:v>15</c:v>
                </c:pt>
                <c:pt idx="17">
                  <c:v>60</c:v>
                </c:pt>
                <c:pt idx="18">
                  <c:v>3</c:v>
                </c:pt>
                <c:pt idx="19">
                  <c:v>22</c:v>
                </c:pt>
                <c:pt idx="20">
                  <c:v>3</c:v>
                </c:pt>
                <c:pt idx="21">
                  <c:v>35</c:v>
                </c:pt>
                <c:pt idx="22">
                  <c:v>1</c:v>
                </c:pt>
                <c:pt idx="23">
                  <c:v>3</c:v>
                </c:pt>
                <c:pt idx="2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35-D940-A9F1-EE2EDC8CA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446048"/>
        <c:axId val="43044840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Feuil1!$D$1:$D$2</c15:sqref>
                        </c15:formulaRef>
                      </c:ext>
                    </c:extLst>
                    <c:strCache>
                      <c:ptCount val="2"/>
                      <c:pt idx="0">
                        <c:v>FR</c:v>
                      </c:pt>
                      <c:pt idx="1">
                        <c:v>Manual Annotation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Feuil1!$A$3:$A$27</c15:sqref>
                        </c15:formulaRef>
                      </c:ext>
                    </c:extLst>
                    <c:strCache>
                      <c:ptCount val="25"/>
                      <c:pt idx="0">
                        <c:v>ARCH_ELEMENT</c:v>
                      </c:pt>
                      <c:pt idx="1">
                        <c:v>HISTORICAL_PERIOD</c:v>
                      </c:pt>
                      <c:pt idx="2">
                        <c:v>MATERIAL</c:v>
                      </c:pt>
                      <c:pt idx="3">
                        <c:v>MAT_STATE</c:v>
                      </c:pt>
                      <c:pt idx="4">
                        <c:v>OBJECT_TYPE</c:v>
                      </c:pt>
                      <c:pt idx="5">
                        <c:v>MONUMENT</c:v>
                      </c:pt>
                      <c:pt idx="6">
                        <c:v>ARCH_SPACE</c:v>
                      </c:pt>
                      <c:pt idx="7">
                        <c:v>ANALYSIS_METHOD</c:v>
                      </c:pt>
                      <c:pt idx="8">
                        <c:v>EXPERT</c:v>
                      </c:pt>
                      <c:pt idx="9">
                        <c:v>RESTORATION_TECH</c:v>
                      </c:pt>
                      <c:pt idx="10">
                        <c:v>DURATION</c:v>
                      </c:pt>
                      <c:pt idx="11">
                        <c:v>HERITAGE_INST</c:v>
                      </c:pt>
                      <c:pt idx="12">
                        <c:v>PROJECTS</c:v>
                      </c:pt>
                      <c:pt idx="13">
                        <c:v>CONSTRUCTION_ACT</c:v>
                      </c:pt>
                      <c:pt idx="14">
                        <c:v>DIGITAL_TECH</c:v>
                      </c:pt>
                      <c:pt idx="15">
                        <c:v>RELATION_SPAT</c:v>
                      </c:pt>
                      <c:pt idx="16">
                        <c:v>MEASURE_TYPE</c:v>
                      </c:pt>
                      <c:pt idx="17">
                        <c:v>RESTORATION_EVENT</c:v>
                      </c:pt>
                      <c:pt idx="18">
                        <c:v>COMPANY</c:v>
                      </c:pt>
                      <c:pt idx="19">
                        <c:v>FIRE_EVENT</c:v>
                      </c:pt>
                      <c:pt idx="20">
                        <c:v>COLOR</c:v>
                      </c:pt>
                      <c:pt idx="21">
                        <c:v>DEVICE</c:v>
                      </c:pt>
                      <c:pt idx="22">
                        <c:v>CHEM_COMPOUND</c:v>
                      </c:pt>
                      <c:pt idx="23">
                        <c:v>GROUPE_TRAVAIL</c:v>
                      </c:pt>
                      <c:pt idx="24">
                        <c:v>MEASURE_VALUE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Feuil1!$D$3:$D$27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635-D940-A9F1-EE2EDC8CAF9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Feuil1!$E$1:$E$2</c15:sqref>
                        </c15:formulaRef>
                      </c:ext>
                    </c:extLst>
                    <c:strCache>
                      <c:ptCount val="2"/>
                      <c:pt idx="0">
                        <c:v>FR</c:v>
                      </c:pt>
                      <c:pt idx="1">
                        <c:v>Manual Annotation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Feuil1!$A$3:$A$27</c15:sqref>
                        </c15:formulaRef>
                      </c:ext>
                    </c:extLst>
                    <c:strCache>
                      <c:ptCount val="25"/>
                      <c:pt idx="0">
                        <c:v>ARCH_ELEMENT</c:v>
                      </c:pt>
                      <c:pt idx="1">
                        <c:v>HISTORICAL_PERIOD</c:v>
                      </c:pt>
                      <c:pt idx="2">
                        <c:v>MATERIAL</c:v>
                      </c:pt>
                      <c:pt idx="3">
                        <c:v>MAT_STATE</c:v>
                      </c:pt>
                      <c:pt idx="4">
                        <c:v>OBJECT_TYPE</c:v>
                      </c:pt>
                      <c:pt idx="5">
                        <c:v>MONUMENT</c:v>
                      </c:pt>
                      <c:pt idx="6">
                        <c:v>ARCH_SPACE</c:v>
                      </c:pt>
                      <c:pt idx="7">
                        <c:v>ANALYSIS_METHOD</c:v>
                      </c:pt>
                      <c:pt idx="8">
                        <c:v>EXPERT</c:v>
                      </c:pt>
                      <c:pt idx="9">
                        <c:v>RESTORATION_TECH</c:v>
                      </c:pt>
                      <c:pt idx="10">
                        <c:v>DURATION</c:v>
                      </c:pt>
                      <c:pt idx="11">
                        <c:v>HERITAGE_INST</c:v>
                      </c:pt>
                      <c:pt idx="12">
                        <c:v>PROJECTS</c:v>
                      </c:pt>
                      <c:pt idx="13">
                        <c:v>CONSTRUCTION_ACT</c:v>
                      </c:pt>
                      <c:pt idx="14">
                        <c:v>DIGITAL_TECH</c:v>
                      </c:pt>
                      <c:pt idx="15">
                        <c:v>RELATION_SPAT</c:v>
                      </c:pt>
                      <c:pt idx="16">
                        <c:v>MEASURE_TYPE</c:v>
                      </c:pt>
                      <c:pt idx="17">
                        <c:v>RESTORATION_EVENT</c:v>
                      </c:pt>
                      <c:pt idx="18">
                        <c:v>COMPANY</c:v>
                      </c:pt>
                      <c:pt idx="19">
                        <c:v>FIRE_EVENT</c:v>
                      </c:pt>
                      <c:pt idx="20">
                        <c:v>COLOR</c:v>
                      </c:pt>
                      <c:pt idx="21">
                        <c:v>DEVICE</c:v>
                      </c:pt>
                      <c:pt idx="22">
                        <c:v>CHEM_COMPOUND</c:v>
                      </c:pt>
                      <c:pt idx="23">
                        <c:v>GROUPE_TRAVAIL</c:v>
                      </c:pt>
                      <c:pt idx="24">
                        <c:v>MEASURE_VALUE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Feuil1!$E$3:$E$27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635-D940-A9F1-EE2EDC8CAF95}"/>
                  </c:ext>
                </c:extLst>
              </c15:ser>
            </c15:filteredBarSeries>
          </c:ext>
        </c:extLst>
      </c:barChart>
      <c:catAx>
        <c:axId val="4304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0448400"/>
        <c:crosses val="autoZero"/>
        <c:auto val="1"/>
        <c:lblAlgn val="ctr"/>
        <c:lblOffset val="100"/>
        <c:noMultiLvlLbl val="0"/>
      </c:catAx>
      <c:valAx>
        <c:axId val="4304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04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615487</xdr:colOff>
      <xdr:row>3</xdr:row>
      <xdr:rowOff>71923</xdr:rowOff>
    </xdr:from>
    <xdr:to>
      <xdr:col>15</xdr:col>
      <xdr:colOff>728139</xdr:colOff>
      <xdr:row>17</xdr:row>
      <xdr:rowOff>48077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BF6A97E-ABC5-89FA-596B-5DB3A7EE6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6841-037E-6B42-B06E-65985506778E}">
  <dimension ref="A1:J52"/>
  <sheetViews>
    <sheetView tabSelected="1" zoomScale="84" workbookViewId="0">
      <selection activeCell="F40" sqref="F40"/>
    </sheetView>
  </sheetViews>
  <sheetFormatPr baseColWidth="10" defaultRowHeight="16" x14ac:dyDescent="0.2"/>
  <cols>
    <col min="1" max="1" width="18.1640625" customWidth="1"/>
    <col min="9" max="9" width="11.1640625" customWidth="1"/>
  </cols>
  <sheetData>
    <row r="1" spans="1:7" x14ac:dyDescent="0.2">
      <c r="B1" t="s">
        <v>27</v>
      </c>
      <c r="F1" t="s">
        <v>28</v>
      </c>
    </row>
    <row r="2" spans="1:7" x14ac:dyDescent="0.2">
      <c r="B2" t="s">
        <v>25</v>
      </c>
      <c r="C2" t="s">
        <v>26</v>
      </c>
      <c r="F2" t="s">
        <v>25</v>
      </c>
      <c r="G2" t="s">
        <v>26</v>
      </c>
    </row>
    <row r="3" spans="1:7" x14ac:dyDescent="0.2">
      <c r="A3" t="s">
        <v>0</v>
      </c>
      <c r="B3">
        <v>440</v>
      </c>
      <c r="C3">
        <v>662</v>
      </c>
      <c r="F3">
        <v>120</v>
      </c>
      <c r="G3">
        <v>100</v>
      </c>
    </row>
    <row r="4" spans="1:7" x14ac:dyDescent="0.2">
      <c r="A4" t="s">
        <v>1</v>
      </c>
      <c r="B4">
        <v>293</v>
      </c>
      <c r="C4">
        <v>399</v>
      </c>
      <c r="F4">
        <v>98</v>
      </c>
      <c r="G4">
        <v>95</v>
      </c>
    </row>
    <row r="5" spans="1:7" x14ac:dyDescent="0.2">
      <c r="A5" t="s">
        <v>2</v>
      </c>
      <c r="B5">
        <v>359</v>
      </c>
      <c r="C5">
        <v>355</v>
      </c>
      <c r="F5">
        <v>39</v>
      </c>
      <c r="G5">
        <v>33</v>
      </c>
    </row>
    <row r="6" spans="1:7" x14ac:dyDescent="0.2">
      <c r="A6" t="s">
        <v>3</v>
      </c>
      <c r="B6">
        <v>214</v>
      </c>
      <c r="C6">
        <v>183</v>
      </c>
      <c r="F6">
        <v>60</v>
      </c>
      <c r="G6">
        <v>43</v>
      </c>
    </row>
    <row r="7" spans="1:7" x14ac:dyDescent="0.2">
      <c r="A7" t="s">
        <v>4</v>
      </c>
      <c r="B7">
        <v>281</v>
      </c>
      <c r="C7">
        <v>441</v>
      </c>
      <c r="F7">
        <v>140</v>
      </c>
      <c r="G7">
        <v>101</v>
      </c>
    </row>
    <row r="8" spans="1:7" x14ac:dyDescent="0.2">
      <c r="A8" t="s">
        <v>5</v>
      </c>
      <c r="B8">
        <v>227</v>
      </c>
      <c r="C8">
        <v>250</v>
      </c>
      <c r="F8">
        <v>138</v>
      </c>
      <c r="G8">
        <v>140</v>
      </c>
    </row>
    <row r="9" spans="1:7" x14ac:dyDescent="0.2">
      <c r="A9" t="s">
        <v>6</v>
      </c>
      <c r="B9">
        <v>238</v>
      </c>
      <c r="C9">
        <v>272</v>
      </c>
      <c r="F9">
        <v>62</v>
      </c>
      <c r="G9">
        <v>68</v>
      </c>
    </row>
    <row r="10" spans="1:7" x14ac:dyDescent="0.2">
      <c r="A10" t="s">
        <v>7</v>
      </c>
      <c r="B10">
        <v>180</v>
      </c>
      <c r="C10">
        <v>188</v>
      </c>
      <c r="F10">
        <v>94</v>
      </c>
      <c r="G10">
        <v>102</v>
      </c>
    </row>
    <row r="11" spans="1:7" x14ac:dyDescent="0.2">
      <c r="A11" t="s">
        <v>8</v>
      </c>
      <c r="B11">
        <v>175</v>
      </c>
      <c r="C11">
        <v>254</v>
      </c>
      <c r="F11">
        <v>51</v>
      </c>
      <c r="G11">
        <v>66</v>
      </c>
    </row>
    <row r="12" spans="1:7" x14ac:dyDescent="0.2">
      <c r="A12" t="s">
        <v>9</v>
      </c>
      <c r="B12">
        <v>191</v>
      </c>
      <c r="C12">
        <v>234</v>
      </c>
      <c r="F12">
        <v>38</v>
      </c>
      <c r="G12">
        <v>59</v>
      </c>
    </row>
    <row r="13" spans="1:7" x14ac:dyDescent="0.2">
      <c r="A13" t="s">
        <v>10</v>
      </c>
      <c r="B13">
        <v>70</v>
      </c>
      <c r="C13">
        <v>49</v>
      </c>
      <c r="F13">
        <v>86</v>
      </c>
      <c r="G13">
        <v>66</v>
      </c>
    </row>
    <row r="14" spans="1:7" x14ac:dyDescent="0.2">
      <c r="A14" t="s">
        <v>11</v>
      </c>
      <c r="B14">
        <v>81</v>
      </c>
      <c r="C14">
        <v>80</v>
      </c>
      <c r="F14">
        <v>31</v>
      </c>
      <c r="G14">
        <v>40</v>
      </c>
    </row>
    <row r="15" spans="1:7" x14ac:dyDescent="0.2">
      <c r="A15" t="s">
        <v>12</v>
      </c>
      <c r="B15">
        <v>79</v>
      </c>
      <c r="C15">
        <v>76</v>
      </c>
      <c r="F15">
        <v>50</v>
      </c>
      <c r="G15">
        <v>49</v>
      </c>
    </row>
    <row r="16" spans="1:7" x14ac:dyDescent="0.2">
      <c r="A16" t="s">
        <v>13</v>
      </c>
      <c r="B16">
        <v>61</v>
      </c>
      <c r="C16">
        <v>85</v>
      </c>
      <c r="F16">
        <v>57</v>
      </c>
      <c r="G16">
        <v>45</v>
      </c>
    </row>
    <row r="17" spans="1:10" x14ac:dyDescent="0.2">
      <c r="A17" t="s">
        <v>14</v>
      </c>
      <c r="B17">
        <v>56</v>
      </c>
      <c r="C17">
        <v>47</v>
      </c>
      <c r="F17">
        <v>350</v>
      </c>
      <c r="G17">
        <v>513</v>
      </c>
    </row>
    <row r="18" spans="1:10" x14ac:dyDescent="0.2">
      <c r="A18" t="s">
        <v>15</v>
      </c>
      <c r="B18">
        <v>18</v>
      </c>
      <c r="C18">
        <v>72</v>
      </c>
      <c r="F18">
        <v>17</v>
      </c>
      <c r="G18">
        <v>9</v>
      </c>
    </row>
    <row r="19" spans="1:10" x14ac:dyDescent="0.2">
      <c r="A19" t="s">
        <v>16</v>
      </c>
      <c r="B19">
        <v>36</v>
      </c>
      <c r="C19">
        <v>90</v>
      </c>
      <c r="F19">
        <v>14</v>
      </c>
      <c r="G19">
        <v>15</v>
      </c>
    </row>
    <row r="20" spans="1:10" x14ac:dyDescent="0.2">
      <c r="A20" t="s">
        <v>17</v>
      </c>
      <c r="B20">
        <v>23</v>
      </c>
      <c r="C20">
        <v>49</v>
      </c>
      <c r="F20">
        <v>56</v>
      </c>
      <c r="G20">
        <v>60</v>
      </c>
    </row>
    <row r="21" spans="1:10" x14ac:dyDescent="0.2">
      <c r="A21" t="s">
        <v>18</v>
      </c>
      <c r="B21">
        <v>16</v>
      </c>
      <c r="C21">
        <v>27</v>
      </c>
      <c r="F21">
        <v>0</v>
      </c>
      <c r="G21">
        <v>3</v>
      </c>
    </row>
    <row r="22" spans="1:10" x14ac:dyDescent="0.2">
      <c r="A22" t="s">
        <v>20</v>
      </c>
      <c r="B22">
        <v>28</v>
      </c>
      <c r="C22">
        <v>144</v>
      </c>
      <c r="F22">
        <v>0</v>
      </c>
      <c r="G22">
        <v>22</v>
      </c>
    </row>
    <row r="23" spans="1:10" x14ac:dyDescent="0.2">
      <c r="A23" t="s">
        <v>21</v>
      </c>
      <c r="B23">
        <v>16</v>
      </c>
      <c r="C23">
        <v>37</v>
      </c>
      <c r="F23">
        <v>0</v>
      </c>
      <c r="G23">
        <v>3</v>
      </c>
    </row>
    <row r="24" spans="1:10" x14ac:dyDescent="0.2">
      <c r="A24" t="s">
        <v>19</v>
      </c>
      <c r="B24">
        <v>18</v>
      </c>
      <c r="C24">
        <v>48</v>
      </c>
      <c r="F24">
        <v>17</v>
      </c>
      <c r="G24">
        <v>35</v>
      </c>
    </row>
    <row r="25" spans="1:10" x14ac:dyDescent="0.2">
      <c r="A25" t="s">
        <v>22</v>
      </c>
      <c r="B25">
        <v>14</v>
      </c>
      <c r="C25">
        <v>39</v>
      </c>
      <c r="F25">
        <v>0</v>
      </c>
      <c r="G25">
        <v>1</v>
      </c>
    </row>
    <row r="26" spans="1:10" x14ac:dyDescent="0.2">
      <c r="A26" t="s">
        <v>23</v>
      </c>
      <c r="B26">
        <v>4</v>
      </c>
      <c r="C26">
        <v>5</v>
      </c>
      <c r="F26">
        <v>1</v>
      </c>
      <c r="G26">
        <v>3</v>
      </c>
    </row>
    <row r="27" spans="1:10" x14ac:dyDescent="0.2">
      <c r="A27" t="s">
        <v>24</v>
      </c>
      <c r="B27">
        <v>0</v>
      </c>
      <c r="C27">
        <v>26</v>
      </c>
      <c r="F27">
        <v>0</v>
      </c>
      <c r="G27">
        <v>11</v>
      </c>
    </row>
    <row r="28" spans="1:10" x14ac:dyDescent="0.2">
      <c r="I28" t="s">
        <v>30</v>
      </c>
      <c r="J28" t="s">
        <v>31</v>
      </c>
    </row>
    <row r="29" spans="1:10" x14ac:dyDescent="0.2">
      <c r="A29" t="s">
        <v>29</v>
      </c>
      <c r="B29">
        <f>SUM(B3:B27)</f>
        <v>3118</v>
      </c>
      <c r="C29">
        <f>SUM(C3:C27)</f>
        <v>4112</v>
      </c>
      <c r="F29">
        <f>SUM(F3:F27)</f>
        <v>1519</v>
      </c>
      <c r="G29">
        <f>SUM(G3:G27)</f>
        <v>1682</v>
      </c>
      <c r="I29">
        <f>SUM(B29,F29)</f>
        <v>4637</v>
      </c>
      <c r="J29">
        <f>SUM(C29,G29)</f>
        <v>5794</v>
      </c>
    </row>
    <row r="39" spans="1:6" x14ac:dyDescent="0.2">
      <c r="B39" t="s">
        <v>37</v>
      </c>
      <c r="D39" t="s">
        <v>38</v>
      </c>
    </row>
    <row r="40" spans="1:6" x14ac:dyDescent="0.2">
      <c r="A40" t="s">
        <v>32</v>
      </c>
      <c r="B40">
        <f>SUM(C8,C18,C3,C9)</f>
        <v>1256</v>
      </c>
      <c r="D40">
        <f>SUM(G8,G18,G3,G9)</f>
        <v>317</v>
      </c>
      <c r="F40">
        <f>SUM(B40:D40)</f>
        <v>1573</v>
      </c>
    </row>
    <row r="41" spans="1:6" x14ac:dyDescent="0.2">
      <c r="A41" t="s">
        <v>33</v>
      </c>
      <c r="B41">
        <f>SUM(C13,C22,C4,C20,C16)</f>
        <v>726</v>
      </c>
      <c r="D41">
        <f>SUM(G13,G22,G16,G20,G4)</f>
        <v>288</v>
      </c>
      <c r="F41">
        <f t="shared" ref="F41:F44" si="0">SUM(B41:D41)</f>
        <v>1014</v>
      </c>
    </row>
    <row r="42" spans="1:6" x14ac:dyDescent="0.2">
      <c r="A42" t="s">
        <v>34</v>
      </c>
      <c r="B42">
        <f>SUM(C21,C11,C26,C15,C14)</f>
        <v>442</v>
      </c>
      <c r="D42">
        <f>SUM(G21,G11,G26,G15,G14)</f>
        <v>161</v>
      </c>
      <c r="F42">
        <f t="shared" si="0"/>
        <v>603</v>
      </c>
    </row>
    <row r="43" spans="1:6" x14ac:dyDescent="0.2">
      <c r="A43" t="s">
        <v>35</v>
      </c>
      <c r="B43">
        <f>SUM(C23,C25,C7,C5,C6)</f>
        <v>1055</v>
      </c>
      <c r="D43">
        <f>SUM(G23,G25,G7,G5,G6)</f>
        <v>181</v>
      </c>
      <c r="F43">
        <f t="shared" si="0"/>
        <v>1236</v>
      </c>
    </row>
    <row r="44" spans="1:6" x14ac:dyDescent="0.2">
      <c r="A44" t="s">
        <v>36</v>
      </c>
      <c r="B44">
        <f>SUM(C24,C12,C10,C17,C27,C19)</f>
        <v>633</v>
      </c>
      <c r="D44">
        <f>SUM(G24,G12,G10,G17,G19,G27)</f>
        <v>735</v>
      </c>
      <c r="F44">
        <f t="shared" si="0"/>
        <v>1368</v>
      </c>
    </row>
    <row r="46" spans="1:6" x14ac:dyDescent="0.2">
      <c r="A46" t="s">
        <v>29</v>
      </c>
      <c r="B46">
        <f>SUM(B40:B44)</f>
        <v>4112</v>
      </c>
      <c r="D46">
        <f>SUM(D40:D44)</f>
        <v>1682</v>
      </c>
      <c r="F46">
        <f>SUM(F40:F44)</f>
        <v>5794</v>
      </c>
    </row>
    <row r="48" spans="1:6" x14ac:dyDescent="0.2">
      <c r="F48">
        <f>F40/F46</f>
        <v>0.27148774594408009</v>
      </c>
    </row>
    <row r="49" spans="6:6" x14ac:dyDescent="0.2">
      <c r="F49">
        <f>F41/F46</f>
        <v>0.17500862961684502</v>
      </c>
    </row>
    <row r="50" spans="6:6" x14ac:dyDescent="0.2">
      <c r="F50">
        <f>F42/F46</f>
        <v>0.1040731791508457</v>
      </c>
    </row>
    <row r="51" spans="6:6" x14ac:dyDescent="0.2">
      <c r="F51">
        <f>F43/F46</f>
        <v>0.21332412840869866</v>
      </c>
    </row>
    <row r="52" spans="6:6" x14ac:dyDescent="0.2">
      <c r="F52">
        <f>F44/F46</f>
        <v>0.23610631687953054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2026-07-17T12:39:58Z</dcterms:created>
  <dcterms:modified xsi:type="dcterms:W3CDTF">2026-07-23T07:48:12Z</dcterms:modified>
</cp:coreProperties>
</file>